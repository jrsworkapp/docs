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 .NET Back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50" customWidth="1" min="3" max="3"/>
    <col width="50" customWidth="1" min="4" max="4"/>
    <col width="14" customWidth="1" min="5" max="5"/>
    <col width="26" customWidth="1" min="6" max="6"/>
    <col width="13" customWidth="1" min="7" max="7"/>
  </cols>
  <sheetData>
    <row r="1">
      <c r="A1" s="1" t="inlineStr">
        <is>
          <t>Categoria</t>
        </is>
      </c>
      <c r="B1" s="1" t="inlineStr">
        <is>
          <t>Critério</t>
        </is>
      </c>
      <c r="C1" s="1" t="inlineStr">
        <is>
          <t>Descrição</t>
        </is>
      </c>
      <c r="D1" s="1" t="inlineStr">
        <is>
          <t>Peso (%)</t>
        </is>
      </c>
      <c r="E1" s="1" t="inlineStr">
        <is>
          <t>Nota (0 a 5)</t>
        </is>
      </c>
      <c r="F1" s="1" t="inlineStr">
        <is>
          <t>Pontuação ponderada</t>
        </is>
      </c>
      <c r="G1" s="1" t="inlineStr">
        <is>
          <t>Observações</t>
        </is>
      </c>
    </row>
    <row r="2">
      <c r="A2" s="2" t="inlineStr">
        <is>
          <t>Fundamentos .NET / C#</t>
        </is>
      </c>
      <c r="B2" s="2" t="inlineStr">
        <is>
          <t>C# e sintaxe básica</t>
        </is>
      </c>
      <c r="C2" s="3" t="inlineStr">
        <is>
          <t>Domínio de tipos, controle de fluxo, coleções, LINQ e boas práticas básicas.</t>
        </is>
      </c>
      <c r="D2" s="4" t="n">
        <v>6</v>
      </c>
      <c r="E2" s="4" t="n"/>
      <c r="F2" s="4">
        <f>IF(E2="","",E2/5*D2)</f>
        <v/>
      </c>
      <c r="G2" s="4" t="n"/>
    </row>
    <row r="3">
      <c r="A3" s="2" t="inlineStr">
        <is>
          <t>Fundamentos .NET / C#</t>
        </is>
      </c>
      <c r="B3" s="2" t="inlineStr">
        <is>
          <t>.NET Runtime e SDK</t>
        </is>
      </c>
      <c r="C3" s="3" t="inlineStr">
        <is>
          <t>Entendimento de CLR, assemblies, gerenciamento de memória, GC e ecossistema .NET.</t>
        </is>
      </c>
      <c r="D3" s="4" t="n">
        <v>4</v>
      </c>
      <c r="E3" s="4" t="n"/>
      <c r="F3" s="4">
        <f>IF(E3="","",E3/5*D3)</f>
        <v/>
      </c>
      <c r="G3" s="4" t="n"/>
    </row>
    <row r="4">
      <c r="A4" s="2" t="inlineStr">
        <is>
          <t>Fundamentos .NET / C#</t>
        </is>
      </c>
      <c r="B4" s="2" t="inlineStr">
        <is>
          <t>Programação assíncrona</t>
        </is>
      </c>
      <c r="C4" s="3" t="inlineStr">
        <is>
          <t>Uso correto de async/await, Tasks, paralelismo e impacto em performance.</t>
        </is>
      </c>
      <c r="D4" s="4" t="n">
        <v>5</v>
      </c>
      <c r="E4" s="4" t="n"/>
      <c r="F4" s="4">
        <f>IF(E4="","",E4/5*D4)</f>
        <v/>
      </c>
      <c r="G4" s="4" t="n"/>
    </row>
    <row r="5">
      <c r="A5" s="2" t="inlineStr">
        <is>
          <t>Web / APIs</t>
        </is>
      </c>
      <c r="B5" s="2" t="inlineStr">
        <is>
          <t>ASP.NET Core Web API</t>
        </is>
      </c>
      <c r="C5" s="3" t="inlineStr">
        <is>
          <t>Criação de APIs RESTful, controllers, roteamento, validação e versionamento.</t>
        </is>
      </c>
      <c r="D5" s="4" t="n">
        <v>8</v>
      </c>
      <c r="E5" s="4" t="n"/>
      <c r="F5" s="4">
        <f>IF(E5="","",E5/5*D5)</f>
        <v/>
      </c>
      <c r="G5" s="4" t="n"/>
    </row>
    <row r="6">
      <c r="A6" s="2" t="inlineStr">
        <is>
          <t>Web / APIs</t>
        </is>
      </c>
      <c r="B6" s="2" t="inlineStr">
        <is>
          <t>Design de APIs</t>
        </is>
      </c>
      <c r="C6" s="3" t="inlineStr">
        <is>
          <t>Boas práticas de design (REST, idempotência, códigos HTTP, contratos, paginação).</t>
        </is>
      </c>
      <c r="D6" s="4" t="n">
        <v>6</v>
      </c>
      <c r="E6" s="4" t="n"/>
      <c r="F6" s="4">
        <f>IF(E6="","",E6/5*D6)</f>
        <v/>
      </c>
      <c r="G6" s="4" t="n"/>
    </row>
    <row r="7">
      <c r="A7" s="2" t="inlineStr">
        <is>
          <t>Web / APIs</t>
        </is>
      </c>
      <c r="B7" s="2" t="inlineStr">
        <is>
          <t>Serialização e contratos</t>
        </is>
      </c>
      <c r="C7" s="3" t="inlineStr">
        <is>
          <t>Uso de JSON, model binding, DTOs, profiles de automapper (ou similar).</t>
        </is>
      </c>
      <c r="D7" s="4" t="n">
        <v>4</v>
      </c>
      <c r="E7" s="4" t="n"/>
      <c r="F7" s="4">
        <f>IF(E7="","",E7/5*D7)</f>
        <v/>
      </c>
      <c r="G7" s="4" t="n"/>
    </row>
    <row r="8">
      <c r="A8" s="2" t="inlineStr">
        <is>
          <t>Dados e Persistência</t>
        </is>
      </c>
      <c r="B8" s="2" t="inlineStr">
        <is>
          <t>Entity Framework Core</t>
        </is>
      </c>
      <c r="C8" s="3" t="inlineStr">
        <is>
          <t>Mapeamento de entidades, migrations, tracking, consultas e otimizações básicas.</t>
        </is>
      </c>
      <c r="D8" s="4" t="n">
        <v>6</v>
      </c>
      <c r="E8" s="4" t="n"/>
      <c r="F8" s="4">
        <f>IF(E8="","",E8/5*D8)</f>
        <v/>
      </c>
      <c r="G8" s="4" t="n"/>
    </row>
    <row r="9">
      <c r="A9" s="2" t="inlineStr">
        <is>
          <t>Dados e Persistência</t>
        </is>
      </c>
      <c r="B9" s="2" t="inlineStr">
        <is>
          <t>SQL e modelagem de dados</t>
        </is>
      </c>
      <c r="C9" s="3" t="inlineStr">
        <is>
          <t>Domínio de SQL (joins, índices, planos de execução) e modelagem relacional.</t>
        </is>
      </c>
      <c r="D9" s="4" t="n">
        <v>7</v>
      </c>
      <c r="E9" s="4" t="n"/>
      <c r="F9" s="4">
        <f>IF(E9="","",E9/5*D9)</f>
        <v/>
      </c>
      <c r="G9" s="4" t="n"/>
    </row>
    <row r="10">
      <c r="A10" s="2" t="inlineStr">
        <is>
          <t>Dados e Persistência</t>
        </is>
      </c>
      <c r="B10" s="2" t="inlineStr">
        <is>
          <t>Acesso a dados alternativo</t>
        </is>
      </c>
      <c r="C10" s="3" t="inlineStr">
        <is>
          <t>Uso de Dapper, procedures, NoSQL ou outros armazenamentos quando apropriado.</t>
        </is>
      </c>
      <c r="D10" s="4" t="n">
        <v>4</v>
      </c>
      <c r="E10" s="4" t="n"/>
      <c r="F10" s="4">
        <f>IF(E10="","",E10/5*D10)</f>
        <v/>
      </c>
      <c r="G10" s="4" t="n"/>
    </row>
    <row r="11">
      <c r="A11" s="2" t="inlineStr">
        <is>
          <t>Arquitetura e Design</t>
        </is>
      </c>
      <c r="B11" s="2" t="inlineStr">
        <is>
          <t>SOLID e Clean Code</t>
        </is>
      </c>
      <c r="C11" s="3" t="inlineStr">
        <is>
          <t>Aplicação prática de princípios SOLID, DRY, KISS e padrões de código limpo.</t>
        </is>
      </c>
      <c r="D11" s="4" t="n">
        <v>7</v>
      </c>
      <c r="E11" s="4" t="n"/>
      <c r="F11" s="4">
        <f>IF(E11="","",E11/5*D11)</f>
        <v/>
      </c>
      <c r="G11" s="4" t="n"/>
    </row>
    <row r="12">
      <c r="A12" s="2" t="inlineStr">
        <is>
          <t>Arquitetura e Design</t>
        </is>
      </c>
      <c r="B12" s="2" t="inlineStr">
        <is>
          <t>Arquitetura em camadas / Clean Architecture</t>
        </is>
      </c>
      <c r="C12" s="3" t="inlineStr">
        <is>
          <t>Separação de responsabilidades, uso de interfaces, injeção de dependência.</t>
        </is>
      </c>
      <c r="D12" s="4" t="n">
        <v>6</v>
      </c>
      <c r="E12" s="4" t="n"/>
      <c r="F12" s="4">
        <f>IF(E12="","",E12/5*D12)</f>
        <v/>
      </c>
      <c r="G12" s="4" t="n"/>
    </row>
    <row r="13">
      <c r="A13" s="2" t="inlineStr">
        <is>
          <t>Arquitetura e Design</t>
        </is>
      </c>
      <c r="B13" s="2" t="inlineStr">
        <is>
          <t>Design orientado a domínio (DDD)</t>
        </is>
      </c>
      <c r="C13" s="3" t="inlineStr">
        <is>
          <t>Conceitos de agregado, entidade, value object, bounded context, Ubiquitous Language.</t>
        </is>
      </c>
      <c r="D13" s="4" t="n">
        <v>5</v>
      </c>
      <c r="E13" s="4" t="n"/>
      <c r="F13" s="4">
        <f>IF(E13="","",E13/5*D13)</f>
        <v/>
      </c>
      <c r="G13" s="4" t="n"/>
    </row>
    <row r="14">
      <c r="A14" s="2" t="inlineStr">
        <is>
          <t>Arquitetura e Design</t>
        </is>
      </c>
      <c r="B14" s="2" t="inlineStr">
        <is>
          <t>Microserviços e integração</t>
        </is>
      </c>
      <c r="C14" s="3" t="inlineStr">
        <is>
          <t>Limites de serviço, comunicação síncrona/assíncrona, versionamento e observabilidade.</t>
        </is>
      </c>
      <c r="D14" s="4" t="n">
        <v>5</v>
      </c>
      <c r="E14" s="4" t="n"/>
      <c r="F14" s="4">
        <f>IF(E14="","",E14/5*D14)</f>
        <v/>
      </c>
      <c r="G14" s="4" t="n"/>
    </row>
    <row r="15">
      <c r="A15" s="2" t="inlineStr">
        <is>
          <t>Cloud e DevOps</t>
        </is>
      </c>
      <c r="B15" s="2" t="inlineStr">
        <is>
          <t>Cloud (Azure / AWS / GCP)</t>
        </is>
      </c>
      <c r="C15" s="3" t="inlineStr">
        <is>
          <t>Experiência em deploy de APIs, uso de serviços gerenciados, configuração e custos.</t>
        </is>
      </c>
      <c r="D15" s="4" t="n">
        <v>5</v>
      </c>
      <c r="E15" s="4" t="n"/>
      <c r="F15" s="4">
        <f>IF(E15="","",E15/5*D15)</f>
        <v/>
      </c>
      <c r="G15" s="4" t="n"/>
    </row>
    <row r="16">
      <c r="A16" s="2" t="inlineStr">
        <is>
          <t>Cloud e DevOps</t>
        </is>
      </c>
      <c r="B16" s="2" t="inlineStr">
        <is>
          <t>Containers (Docker / Kubernetes)</t>
        </is>
      </c>
      <c r="C16" s="3" t="inlineStr">
        <is>
          <t>Criação de imagens, Dockerfile, orquestração básica, health checks e scaling.</t>
        </is>
      </c>
      <c r="D16" s="4" t="n">
        <v>5</v>
      </c>
      <c r="E16" s="4" t="n"/>
      <c r="F16" s="4">
        <f>IF(E16="","",E16/5*D16)</f>
        <v/>
      </c>
      <c r="G16" s="4" t="n"/>
    </row>
    <row r="17">
      <c r="A17" s="2" t="inlineStr">
        <is>
          <t>Cloud e DevOps</t>
        </is>
      </c>
      <c r="B17" s="2" t="inlineStr">
        <is>
          <t>CI/CD</t>
        </is>
      </c>
      <c r="C17" s="3" t="inlineStr">
        <is>
          <t>Pipelines de build, testes, quality gates, deploy automatizado e rollback.</t>
        </is>
      </c>
      <c r="D17" s="4" t="n">
        <v>5</v>
      </c>
      <c r="E17" s="4" t="n"/>
      <c r="F17" s="4">
        <f>IF(E17="","",E17/5*D17)</f>
        <v/>
      </c>
      <c r="G17" s="4" t="n"/>
    </row>
    <row r="18">
      <c r="A18" s="2" t="inlineStr">
        <is>
          <t>Qualidade e Testes</t>
        </is>
      </c>
      <c r="B18" s="2" t="inlineStr">
        <is>
          <t>Testes unitários</t>
        </is>
      </c>
      <c r="C18" s="3" t="inlineStr">
        <is>
          <t>Cobertura adequada, uso de xUnit/NUnit/MSTest, mocks e testes de regra de negócio.</t>
        </is>
      </c>
      <c r="D18" s="4" t="n">
        <v>6</v>
      </c>
      <c r="E18" s="4" t="n"/>
      <c r="F18" s="4">
        <f>IF(E18="","",E18/5*D18)</f>
        <v/>
      </c>
      <c r="G18" s="4" t="n"/>
    </row>
    <row r="19">
      <c r="A19" s="2" t="inlineStr">
        <is>
          <t>Qualidade e Testes</t>
        </is>
      </c>
      <c r="B19" s="2" t="inlineStr">
        <is>
          <t>Testes de integração / contrato</t>
        </is>
      </c>
      <c r="C19" s="3" t="inlineStr">
        <is>
          <t>Testes de API, banco, ambientes, utilização de ferramentas de contrato (ex: Pact).</t>
        </is>
      </c>
      <c r="D19" s="4" t="n">
        <v>4</v>
      </c>
      <c r="E19" s="4" t="n"/>
      <c r="F19" s="4">
        <f>IF(E19="","",E19/5*D19)</f>
        <v/>
      </c>
      <c r="G19" s="4" t="n"/>
    </row>
    <row r="20">
      <c r="A20" s="2" t="inlineStr">
        <is>
          <t>Qualidade e Testes</t>
        </is>
      </c>
      <c r="B20" s="2" t="inlineStr">
        <is>
          <t>Código estático e qualidade</t>
        </is>
      </c>
      <c r="C20" s="3" t="inlineStr">
        <is>
          <t>Uso de SonarQube ou similares, análise de vulnerabilidades e débito técnico.</t>
        </is>
      </c>
      <c r="D20" s="4" t="n">
        <v>4</v>
      </c>
      <c r="E20" s="4" t="n"/>
      <c r="F20" s="4">
        <f>IF(E20="","",E20/5*D20)</f>
        <v/>
      </c>
      <c r="G20" s="4" t="n"/>
    </row>
    <row r="21">
      <c r="A21" s="2" t="inlineStr">
        <is>
          <t>Segurança</t>
        </is>
      </c>
      <c r="B21" s="2" t="inlineStr">
        <is>
          <t>Autenticação e autorização</t>
        </is>
      </c>
      <c r="C21" s="3" t="inlineStr">
        <is>
          <t>Conhecimento de Identity, JWT, OAuth2/OIDC, roles, policies e claims.</t>
        </is>
      </c>
      <c r="D21" s="4" t="n">
        <v>6</v>
      </c>
      <c r="E21" s="4" t="n"/>
      <c r="F21" s="4">
        <f>IF(E21="","",E21/5*D21)</f>
        <v/>
      </c>
      <c r="G21" s="4" t="n"/>
    </row>
    <row r="22">
      <c r="A22" s="2" t="inlineStr">
        <is>
          <t>Segurança</t>
        </is>
      </c>
      <c r="B22" s="2" t="inlineStr">
        <is>
          <t>Boas práticas OWASP</t>
        </is>
      </c>
      <c r="C22" s="3" t="inlineStr">
        <is>
          <t>Prevenção de SQL Injection, XSS, CSRF, exposição de dados sensíveis, etc.</t>
        </is>
      </c>
      <c r="D22" s="4" t="n">
        <v>5</v>
      </c>
      <c r="E22" s="4" t="n"/>
      <c r="F22" s="4">
        <f>IF(E22="","",E22/5*D22)</f>
        <v/>
      </c>
      <c r="G22" s="4" t="n"/>
    </row>
    <row r="23">
      <c r="A23" s="2" t="inlineStr">
        <is>
          <t>Segurança</t>
        </is>
      </c>
      <c r="B23" s="2" t="inlineStr">
        <is>
          <t>Gestão de segredos</t>
        </is>
      </c>
      <c r="C23" s="3" t="inlineStr">
        <is>
          <t>Uso de Key Vault/Secrets, variáveis de ambiente, rotação e princípios de mínimo privilégio.</t>
        </is>
      </c>
      <c r="D23" s="4" t="n">
        <v>3</v>
      </c>
      <c r="E23" s="4" t="n"/>
      <c r="F23" s="4">
        <f>IF(E23="","",E23/5*D23)</f>
        <v/>
      </c>
      <c r="G23" s="4" t="n"/>
    </row>
    <row r="24">
      <c r="A24" s="2" t="inlineStr">
        <is>
          <t>Performance e Resiliência</t>
        </is>
      </c>
      <c r="B24" s="2" t="inlineStr">
        <is>
          <t>Monitoramento e logging</t>
        </is>
      </c>
      <c r="C24" s="3" t="inlineStr">
        <is>
          <t>Uso de logs estruturados, correlação, métricas e tracing distribuído.</t>
        </is>
      </c>
      <c r="D24" s="4" t="n">
        <v>5</v>
      </c>
      <c r="E24" s="4" t="n"/>
      <c r="F24" s="4">
        <f>IF(E24="","",E24/5*D24)</f>
        <v/>
      </c>
      <c r="G24" s="4" t="n"/>
    </row>
    <row r="25">
      <c r="A25" s="2" t="inlineStr">
        <is>
          <t>Performance e Resiliência</t>
        </is>
      </c>
      <c r="B25" s="2" t="inlineStr">
        <is>
          <t>Caching e performance</t>
        </is>
      </c>
      <c r="C25" s="3" t="inlineStr">
        <is>
          <t>Uso de cache (Redis, in-memory), profiling de consultas, otimização de endpoints críticos.</t>
        </is>
      </c>
      <c r="D25" s="4" t="n">
        <v>5</v>
      </c>
      <c r="E25" s="4" t="n"/>
      <c r="F25" s="4">
        <f>IF(E25="","",E25/5*D25)</f>
        <v/>
      </c>
      <c r="G25" s="4" t="n"/>
    </row>
    <row r="26">
      <c r="A26" s="2" t="inlineStr">
        <is>
          <t>Performance e Resiliência</t>
        </is>
      </c>
      <c r="B26" s="2" t="inlineStr">
        <is>
          <t>Resiliência e tolerância a falhas</t>
        </is>
      </c>
      <c r="C26" s="3" t="inlineStr">
        <is>
          <t>Uso de padrões como retry, circuit breaker (ex: Polly) e timeouts bem configurados.</t>
        </is>
      </c>
      <c r="D26" s="4" t="n">
        <v>4</v>
      </c>
      <c r="E26" s="4" t="n"/>
      <c r="F26" s="4">
        <f>IF(E26="","",E26/5*D26)</f>
        <v/>
      </c>
      <c r="G26" s="4" t="n"/>
    </row>
    <row r="27">
      <c r="A27" s="2" t="inlineStr">
        <is>
          <t>Colaboração e Processo</t>
        </is>
      </c>
      <c r="B27" s="2" t="inlineStr">
        <is>
          <t>Git e fluxo de trabalho</t>
        </is>
      </c>
      <c r="C27" s="3" t="inlineStr">
        <is>
          <t>Uso de Git (branching, pull requests, code review) e estratégias como GitFlow/Trunk.</t>
        </is>
      </c>
      <c r="D27" s="4" t="n">
        <v>5</v>
      </c>
      <c r="E27" s="4" t="n"/>
      <c r="F27" s="4">
        <f>IF(E27="","",E27/5*D27)</f>
        <v/>
      </c>
      <c r="G27" s="4" t="n"/>
    </row>
    <row r="28">
      <c r="A28" s="2" t="inlineStr">
        <is>
          <t>Colaboração e Processo</t>
        </is>
      </c>
      <c r="B28" s="2" t="inlineStr">
        <is>
          <t>Trabalho em equipe e comunicação</t>
        </is>
      </c>
      <c r="C28" s="3" t="inlineStr">
        <is>
          <t>Clareza na comunicação, feedback, interação com produto/negócio e empatia.</t>
        </is>
      </c>
      <c r="D28" s="4" t="n">
        <v>5</v>
      </c>
      <c r="E28" s="4" t="n"/>
      <c r="F28" s="4">
        <f>IF(E28="","",E28/5*D28)</f>
        <v/>
      </c>
      <c r="G28" s="4" t="n"/>
    </row>
    <row r="29">
      <c r="A29" s="2" t="inlineStr">
        <is>
          <t>Colaboração e Processo</t>
        </is>
      </c>
      <c r="B29" s="2" t="inlineStr">
        <is>
          <t>Documentação técnica</t>
        </is>
      </c>
      <c r="C29" s="3" t="inlineStr">
        <is>
          <t>Documentar decisões, endpoints, diagramas de arquitetura e READMEs úteis.</t>
        </is>
      </c>
      <c r="D29" s="4" t="n">
        <v>4</v>
      </c>
      <c r="E29" s="4" t="n"/>
      <c r="F29" s="4">
        <f>IF(E29="","",E29/5*D29)</f>
        <v/>
      </c>
      <c r="G29" s="4" t="n"/>
    </row>
    <row r="30">
      <c r="A30" s="2" t="inlineStr">
        <is>
          <t>Senioridade e Impacto</t>
        </is>
      </c>
      <c r="B30" s="2" t="inlineStr">
        <is>
          <t>Ownership e autonomia</t>
        </is>
      </c>
      <c r="C30" s="3" t="inlineStr">
        <is>
          <t>Capacidade de assumir problemas de ponta a ponta e entregar com responsabilidade.</t>
        </is>
      </c>
      <c r="D30" s="4" t="n">
        <v>5</v>
      </c>
      <c r="E30" s="4" t="n"/>
      <c r="F30" s="4">
        <f>IF(E30="","",E30/5*D30)</f>
        <v/>
      </c>
      <c r="G30" s="4" t="n"/>
    </row>
    <row r="31">
      <c r="A31" s="2" t="inlineStr">
        <is>
          <t>Senioridade e Impacto</t>
        </is>
      </c>
      <c r="B31" s="2" t="inlineStr">
        <is>
          <t>Mentoria e liderança técnica</t>
        </is>
      </c>
      <c r="C31" s="3" t="inlineStr">
        <is>
          <t>Apoio ao time, revisão de código, disseminação de boas práticas.</t>
        </is>
      </c>
      <c r="D31" s="4" t="n">
        <v>4</v>
      </c>
      <c r="E31" s="4" t="n"/>
      <c r="F31" s="4">
        <f>IF(E31="","",E31/5*D31)</f>
        <v/>
      </c>
      <c r="G31" s="4" t="n"/>
    </row>
    <row r="32">
      <c r="A32" s="2" t="inlineStr">
        <is>
          <t>Senioridade e Impacto</t>
        </is>
      </c>
      <c r="B32" s="2" t="inlineStr">
        <is>
          <t>Visão de produto e negócio</t>
        </is>
      </c>
      <c r="C32" s="3" t="inlineStr">
        <is>
          <t>Entendimento de impacto das decisões técnicas em métricas de negócio.</t>
        </is>
      </c>
      <c r="D32" s="4" t="n">
        <v>4</v>
      </c>
      <c r="E32" s="4" t="n"/>
      <c r="F32" s="4">
        <f>IF(E32="","",E32/5*D32)</f>
        <v/>
      </c>
      <c r="G32" s="4" t="n"/>
    </row>
    <row r="33"/>
    <row r="34">
      <c r="C34" s="5" t="inlineStr">
        <is>
          <t>Soma dos Pesos (%)</t>
        </is>
      </c>
      <c r="D34" s="4">
        <f>SUM(D2:D32)</f>
        <v/>
      </c>
    </row>
    <row r="35">
      <c r="C35" s="5" t="inlineStr">
        <is>
          <t>Pontuação total ponderada</t>
        </is>
      </c>
      <c r="D35" s="4">
        <f>SUM(F2:F32)</f>
        <v/>
      </c>
    </row>
    <row r="36">
      <c r="C36" s="5" t="inlineStr">
        <is>
          <t>Nota final (0 a 100)</t>
        </is>
      </c>
      <c r="D36" s="4">
        <f>IF(D34=0,0,(D35/D34)*100)</f>
        <v/>
      </c>
    </row>
    <row r="37">
      <c r="C37" s="5" t="inlineStr">
        <is>
          <t>Classificação</t>
        </is>
      </c>
      <c r="D37" s="4">
        <f>IF(D36&lt;40,"Júnior em desenvolvimento",IF(D36&lt;70,"Pleno em desenvolvimento",IF(D36&lt;85,"Sênior","Staff / Principal")))</f>
        <v/>
      </c>
    </row>
  </sheetData>
  <conditionalFormatting sqref="D36">
    <cfRule type="colorScale" priority="1">
      <colorScale>
        <cfvo type="num" val="0"/>
        <cfvo type="num" val="70"/>
        <cfvo type="num" val="1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2025-11-25T18:36:16Z</dcterms:created>
  <dcterms:modified xmlns:dcterms="http://purl.org/dc/terms/" xmlns:xsi="http://www.w3.org/2001/XMLSchema-instance" xsi:type="dcterms:W3CDTF">2025-11-25T18:36:16Z</dcterms:modified>
</cp:coreProperties>
</file>